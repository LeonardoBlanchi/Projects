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gianl\Downloads\"/>
    </mc:Choice>
  </mc:AlternateContent>
  <xr:revisionPtr revIDLastSave="0" documentId="8_{8590B6D9-7969-49E3-A89E-14E96C1B65F9}" xr6:coauthVersionLast="47" xr6:coauthVersionMax="47" xr10:uidLastSave="{00000000-0000-0000-0000-000000000000}"/>
  <bookViews>
    <workbookView xWindow="-108" yWindow="-108" windowWidth="23256" windowHeight="12456" xr2:uid="{5265C5A8-D479-47F6-99F2-69E61448508F}"/>
  </bookViews>
  <sheets>
    <sheet name="Anne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7" i="1"/>
  <c r="E18" i="1"/>
  <c r="E19" i="1"/>
  <c r="E20" i="1"/>
  <c r="E15" i="1"/>
  <c r="C10" i="1"/>
  <c r="C7" i="1"/>
  <c r="C4" i="1"/>
</calcChain>
</file>

<file path=xl/sharedStrings.xml><?xml version="1.0" encoding="utf-8"?>
<sst xmlns="http://schemas.openxmlformats.org/spreadsheetml/2006/main" count="33" uniqueCount="30">
  <si>
    <t>Section 1.</t>
  </si>
  <si>
    <t>Global limits</t>
  </si>
  <si>
    <t>5-Days 95% VaR</t>
  </si>
  <si>
    <t>Limit</t>
  </si>
  <si>
    <t>Limit Usage (%)</t>
  </si>
  <si>
    <t>5-Days 97.5% ES</t>
  </si>
  <si>
    <t>Warning Level</t>
  </si>
  <si>
    <t>WL Usage (%)</t>
  </si>
  <si>
    <t xml:space="preserve">Hist. </t>
  </si>
  <si>
    <t>STWL</t>
  </si>
  <si>
    <t>Section 2.</t>
  </si>
  <si>
    <t>Granular Market Limits</t>
  </si>
  <si>
    <t>Sensitivity Name</t>
  </si>
  <si>
    <t>Factor Sensitivity</t>
  </si>
  <si>
    <t>Gross Sensitivity Long</t>
  </si>
  <si>
    <t>Gross Sensitivity Short</t>
  </si>
  <si>
    <t>All Mkts +1%</t>
  </si>
  <si>
    <t>All Mkts +10%</t>
  </si>
  <si>
    <t>All Mkts -10%</t>
  </si>
  <si>
    <t>Vola +1%</t>
  </si>
  <si>
    <t>Vola +20%</t>
  </si>
  <si>
    <t>Vola -20%</t>
  </si>
  <si>
    <t>Section 3.</t>
  </si>
  <si>
    <t>Stress Test Program</t>
  </si>
  <si>
    <t>Scenario Name</t>
  </si>
  <si>
    <t>Simulated P&amp;L</t>
  </si>
  <si>
    <t>Hist. 1</t>
  </si>
  <si>
    <t>Hist. 2</t>
  </si>
  <si>
    <t>Hyp. 1</t>
  </si>
  <si>
    <t>Hyp.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</si>
</sst>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3" borderId="0" xfId="0" applyFill="1"/>
    <xf numFmtId="0" fontId="3" fillId="2" borderId="1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314325</xdr:colOff>
      <xdr:row>0</xdr:row>
      <xdr:rowOff>85725</xdr:rowOff>
    </xdr:from>
    <xdr:to>
      <xdr:col>7</xdr:col>
      <xdr:colOff>257175</xdr:colOff>
      <xdr:row>12</xdr:row>
      <xdr:rowOff>66675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E1A9F9C-534D-08AD-6F75-B11AA0CE3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3775" y="85725"/>
          <a:ext cx="2457450" cy="2457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1360-98EE-412E-A82C-01D548F04493}">
  <dimension ref="A1:H28"/>
  <sheetViews>
    <sheetView showGridLines="0" tabSelected="1" workbookViewId="0">
      <selection activeCell="K7" sqref="K7"/>
    </sheetView>
  </sheetViews>
  <sheetFormatPr defaultRowHeight="14.45"/>
  <cols>
    <col min="1" max="3" width="15" customWidth="1"/>
    <col min="4" max="4" width="3.28515625" customWidth="1"/>
    <col min="5" max="5" width="15" customWidth="1"/>
    <col min="6" max="6" width="3.28515625" customWidth="1"/>
    <col min="7" max="8" width="19.42578125" customWidth="1"/>
  </cols>
  <sheetData>
    <row r="1" spans="1:8">
      <c r="A1" s="1" t="s">
        <v>0</v>
      </c>
      <c r="B1" s="1" t="s">
        <v>1</v>
      </c>
    </row>
    <row r="3" spans="1:8" ht="24" customHeight="1">
      <c r="A3" s="5" t="s">
        <v>2</v>
      </c>
      <c r="B3" s="5" t="s">
        <v>3</v>
      </c>
      <c r="C3" s="5" t="s">
        <v>4</v>
      </c>
    </row>
    <row r="4" spans="1:8" ht="18" customHeight="1">
      <c r="A4" s="2">
        <v>32.86</v>
      </c>
      <c r="B4" s="2">
        <v>400</v>
      </c>
      <c r="C4" s="6">
        <f>IF(A4/B4&gt;0, A4/B4, "Not Applicable")</f>
        <v>8.2150000000000001E-2</v>
      </c>
    </row>
    <row r="5" spans="1:8" ht="6" customHeight="1"/>
    <row r="6" spans="1:8" ht="24" customHeight="1">
      <c r="A6" s="5" t="s">
        <v>5</v>
      </c>
      <c r="B6" s="5" t="s">
        <v>6</v>
      </c>
      <c r="C6" s="5" t="s">
        <v>7</v>
      </c>
    </row>
    <row r="7" spans="1:8" ht="18" customHeight="1">
      <c r="A7" s="2">
        <v>32.909999999999997</v>
      </c>
      <c r="B7" s="2">
        <v>500</v>
      </c>
      <c r="C7" s="6">
        <f>IF(A7/B7&gt;0, A4/B4, "Not Applicable")</f>
        <v>8.2150000000000001E-2</v>
      </c>
    </row>
    <row r="8" spans="1:8" ht="6" customHeight="1"/>
    <row r="9" spans="1:8" ht="24" customHeight="1">
      <c r="A9" s="5" t="s">
        <v>8</v>
      </c>
      <c r="B9" s="5" t="s">
        <v>9</v>
      </c>
      <c r="C9" s="5" t="s">
        <v>7</v>
      </c>
    </row>
    <row r="10" spans="1:8" ht="18" customHeight="1">
      <c r="A10" s="2">
        <v>914.44</v>
      </c>
      <c r="B10" s="7">
        <v>-800</v>
      </c>
      <c r="C10" s="6" t="str">
        <f>IF(A10/B10&gt;0, A10/B10, "Not Applicable")</f>
        <v>Not Applicable</v>
      </c>
    </row>
    <row r="12" spans="1:8">
      <c r="A12" s="1" t="s">
        <v>10</v>
      </c>
      <c r="B12" s="1" t="s">
        <v>11</v>
      </c>
      <c r="D12" s="4"/>
    </row>
    <row r="14" spans="1:8" ht="24" customHeight="1">
      <c r="A14" s="5" t="s">
        <v>12</v>
      </c>
      <c r="B14" s="5" t="s">
        <v>13</v>
      </c>
      <c r="C14" s="5" t="s">
        <v>3</v>
      </c>
      <c r="E14" s="5" t="s">
        <v>4</v>
      </c>
      <c r="G14" s="5" t="s">
        <v>14</v>
      </c>
      <c r="H14" s="5" t="s">
        <v>15</v>
      </c>
    </row>
    <row r="15" spans="1:8" ht="18.600000000000001" customHeight="1">
      <c r="A15" s="3" t="s">
        <v>16</v>
      </c>
      <c r="B15" s="2">
        <v>2.29</v>
      </c>
      <c r="C15" s="2">
        <v>100</v>
      </c>
      <c r="E15" s="6">
        <f>IF(B15/C15&gt;0, B15/C15, "Not Applicable")</f>
        <v>2.29E-2</v>
      </c>
      <c r="G15" s="2">
        <v>135.01</v>
      </c>
      <c r="H15" s="7">
        <v>-132.72</v>
      </c>
    </row>
    <row r="16" spans="1:8" ht="18" customHeight="1">
      <c r="A16" s="3" t="s">
        <v>17</v>
      </c>
      <c r="B16" s="2">
        <v>213.59</v>
      </c>
      <c r="C16" s="7">
        <v>-400</v>
      </c>
      <c r="E16" s="6" t="str">
        <f t="shared" ref="E16:E20" si="0">IF(B16/C16&gt;0, B16/C16, "Not Applicable")</f>
        <v>Not Applicable</v>
      </c>
      <c r="G16" s="2">
        <v>1506.55</v>
      </c>
      <c r="H16" s="7">
        <v>-1292.96</v>
      </c>
    </row>
    <row r="17" spans="1:8" ht="18" customHeight="1">
      <c r="A17" s="3" t="s">
        <v>18</v>
      </c>
      <c r="B17" s="2">
        <v>215.54</v>
      </c>
      <c r="C17" s="7">
        <v>-400</v>
      </c>
      <c r="E17" s="6" t="str">
        <f t="shared" si="0"/>
        <v>Not Applicable</v>
      </c>
      <c r="G17" s="2">
        <v>1417.93</v>
      </c>
      <c r="H17" s="7">
        <v>-1202.3800000000001</v>
      </c>
    </row>
    <row r="18" spans="1:8" ht="18" customHeight="1">
      <c r="A18" s="3" t="s">
        <v>19</v>
      </c>
      <c r="B18" s="2">
        <v>29.63</v>
      </c>
      <c r="C18" s="2">
        <v>50</v>
      </c>
      <c r="E18" s="6">
        <f t="shared" si="0"/>
        <v>0.59260000000000002</v>
      </c>
      <c r="G18" s="2">
        <v>77</v>
      </c>
      <c r="H18" s="7">
        <v>-47.38</v>
      </c>
    </row>
    <row r="19" spans="1:8" ht="18" customHeight="1">
      <c r="A19" s="3" t="s">
        <v>20</v>
      </c>
      <c r="B19" s="2">
        <v>630.11</v>
      </c>
      <c r="C19" s="7">
        <v>-400</v>
      </c>
      <c r="E19" s="6" t="str">
        <f t="shared" si="0"/>
        <v>Not Applicable</v>
      </c>
      <c r="G19" s="2">
        <v>1578</v>
      </c>
      <c r="H19" s="7">
        <v>-947.89</v>
      </c>
    </row>
    <row r="20" spans="1:8" ht="18" customHeight="1">
      <c r="A20" s="3" t="s">
        <v>21</v>
      </c>
      <c r="B20" s="7">
        <v>-402.24</v>
      </c>
      <c r="C20" s="7">
        <v>-400</v>
      </c>
      <c r="E20" s="6">
        <f t="shared" si="0"/>
        <v>1.0056</v>
      </c>
      <c r="G20" s="2">
        <v>925.95</v>
      </c>
      <c r="H20" s="7">
        <v>-1328.2</v>
      </c>
    </row>
    <row r="22" spans="1:8">
      <c r="A22" s="8" t="s">
        <v>22</v>
      </c>
      <c r="B22" s="1" t="s">
        <v>23</v>
      </c>
    </row>
    <row r="24" spans="1:8" ht="24" customHeight="1">
      <c r="A24" s="5" t="s">
        <v>24</v>
      </c>
      <c r="B24" s="5" t="s">
        <v>25</v>
      </c>
    </row>
    <row r="25" spans="1:8" ht="18" customHeight="1">
      <c r="A25" s="5" t="s">
        <v>26</v>
      </c>
      <c r="B25" s="2">
        <v>7645.1</v>
      </c>
    </row>
    <row r="26" spans="1:8" ht="18" customHeight="1">
      <c r="A26" s="5" t="s">
        <v>27</v>
      </c>
      <c r="B26" s="2">
        <v>3029.33</v>
      </c>
    </row>
    <row r="27" spans="1:8" ht="18" customHeight="1">
      <c r="A27" s="5" t="s">
        <v>28</v>
      </c>
      <c r="B27" s="2">
        <v>2343.86</v>
      </c>
    </row>
    <row r="28" spans="1:8" ht="18" customHeight="1">
      <c r="A28" s="5" t="s">
        <v>29</v>
      </c>
      <c r="B28" s="2">
        <v>914.44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GIANLUCA DE GIULIO</dc:creator>
  <cp:keywords/>
  <dc:description/>
  <cp:lastModifiedBy/>
  <cp:revision/>
  <dcterms:created xsi:type="dcterms:W3CDTF">2026-02-16T23:10:20Z</dcterms:created>
  <dcterms:modified xsi:type="dcterms:W3CDTF">2026-02-18T01:06:01Z</dcterms:modified>
  <cp:category/>
  <cp:contentStatus/>
</cp:coreProperties>
</file>